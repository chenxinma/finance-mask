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activeTab="1"/>
  </bookViews>
  <sheets>
    <sheet name="AI财有道" sheetId="1" r:id="rId1"/>
    <sheet name="AI底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<sst xmlns="http://schemas.openxmlformats.org/spreadsheetml/2006/main" count="157" uniqueCount="58">
  <si>
    <r>
      <t>AI</t>
    </r>
    <r>
      <rPr>
        <sz val="10"/>
        <color theme="1"/>
        <rFont val="方正书宋_GBK"/>
        <charset val="134"/>
      </rPr>
      <t>财有道</t>
    </r>
    <r>
      <rPr>
        <sz val="10"/>
        <color theme="1"/>
        <rFont val="Fira Code"/>
        <charset val="134"/>
      </rPr>
      <t xml:space="preserve"> </t>
    </r>
    <r>
      <rPr>
        <sz val="10"/>
        <color theme="1"/>
        <rFont val="方正书宋_GBK"/>
        <charset val="134"/>
      </rPr>
      <t>应用部分</t>
    </r>
  </si>
  <si>
    <t>环境</t>
  </si>
  <si>
    <t>功能</t>
  </si>
  <si>
    <t>资源</t>
  </si>
  <si>
    <t>费用预估</t>
  </si>
  <si>
    <t>缩配建议</t>
  </si>
  <si>
    <t>缩配后费用预估</t>
  </si>
  <si>
    <t>PROD</t>
  </si>
  <si>
    <t>网络</t>
  </si>
  <si>
    <t>负载均衡</t>
  </si>
  <si>
    <t>移除</t>
  </si>
  <si>
    <t>备份</t>
  </si>
  <si>
    <t>块存储</t>
  </si>
  <si>
    <t>数据管理</t>
  </si>
  <si>
    <t>云安全中心</t>
  </si>
  <si>
    <t>配置中心</t>
  </si>
  <si>
    <t xml:space="preserve">SYNCOWORK-PROD-Nacos01 </t>
  </si>
  <si>
    <t>DataFocus</t>
  </si>
  <si>
    <t>SYNCOWORK-PROD-SV01
SyncoView服务01</t>
  </si>
  <si>
    <t>SYNCOWORK-PROD-SV02
SyncoView服务02</t>
  </si>
  <si>
    <t>SYNCOWORK-PROD-SV03
SyncoView服务03</t>
  </si>
  <si>
    <t>SYNCOWORK-PROD-SV04
SyncoView服务04</t>
  </si>
  <si>
    <t>周边应用</t>
  </si>
  <si>
    <t>SYNCOWORK-PROD-SWAUTH01
SyncoWork认证服务</t>
  </si>
  <si>
    <t>SYNCOWORK-PROD-STBE01
SyncoTeam后端服务1</t>
  </si>
  <si>
    <t>SYNCOWORK-PROD-MCP01</t>
  </si>
  <si>
    <t>SYNCOWORK-PROD-DIFY01</t>
  </si>
  <si>
    <t>保留+增配</t>
  </si>
  <si>
    <t>SYNCOWORK-PROD-XXL01</t>
  </si>
  <si>
    <t>SYNCOWORK-PROD-KETTLE01</t>
  </si>
  <si>
    <t>前端界面</t>
  </si>
  <si>
    <t>SYNCOWORK-PROD-NG01</t>
  </si>
  <si>
    <t>数据库</t>
  </si>
  <si>
    <t>SYNCOWORK-PROD-PG01</t>
  </si>
  <si>
    <t>缩配</t>
  </si>
  <si>
    <t>SYNCOWORK-PROD-MYSQL01</t>
  </si>
  <si>
    <t>缓存</t>
  </si>
  <si>
    <t xml:space="preserve">SYNCOWORK-PROD-REDIS01 </t>
  </si>
  <si>
    <t>UAT</t>
  </si>
  <si>
    <t xml:space="preserve">SYNCOWORK-UAT-Nacos01 </t>
  </si>
  <si>
    <t>SYNCOWORK-UAT-SV01
SyncoView服务</t>
  </si>
  <si>
    <t>SYNCOWORK-UAT-STBE01
SyncoTeam后端服务1</t>
  </si>
  <si>
    <t>SYNCOWORK-UAT-SWAUTH01
SyncoWork认证服务</t>
  </si>
  <si>
    <t>SYNCOWORK-UAT-MCP01
MCP-Server大数据抽取服务</t>
  </si>
  <si>
    <t>SYNCOWORK-UAT-DIFY01</t>
  </si>
  <si>
    <t>保留</t>
  </si>
  <si>
    <t>SYNCOWORK-UAT-XXL01</t>
  </si>
  <si>
    <t>SYNCOWORK-UAT-KETTLE01</t>
  </si>
  <si>
    <t>SYNCOWORK-UAT-NG01</t>
  </si>
  <si>
    <t>SYNCOWORK-UAT-PG01</t>
  </si>
  <si>
    <t>SYNCOWORK-UAT-MYSQL01</t>
  </si>
  <si>
    <t xml:space="preserve">SYNCOWORK-UAT-REDIS01 </t>
  </si>
  <si>
    <r>
      <t>注：应用功能的服务器移除，合并部署到</t>
    </r>
    <r>
      <rPr>
        <sz val="10"/>
        <color theme="1"/>
        <rFont val="Fira Code"/>
        <charset val="134"/>
      </rPr>
      <t>DIFY</t>
    </r>
    <r>
      <rPr>
        <sz val="10"/>
        <color theme="1"/>
        <rFont val="方正书宋_GBK"/>
        <charset val="134"/>
      </rPr>
      <t>服务器上</t>
    </r>
  </si>
  <si>
    <t>AI底座</t>
  </si>
  <si>
    <t>对象存储</t>
  </si>
  <si>
    <t>-</t>
  </si>
  <si>
    <t>算力</t>
  </si>
  <si>
    <t>云服务器 ECS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</si>
</sst>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theme="1"/>
      <name val="Fira Code"/>
      <charset val="134"/>
    </font>
    <font>
      <sz val="10"/>
      <color theme="1"/>
      <name val="方正书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89013336588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/>
    </xf>
    <xf numFmtId="0" fontId="1" fillId="0" borderId="1" xfId="0" applyFont="1" applyBorder="1">
      <alignment vertical="center"/>
    </xf>
    <xf numFmtId="0" fontId="3" fillId="0" borderId="1" xfId="52" applyFont="1" applyFill="1" applyBorder="1" applyAlignment="1">
      <alignment horizontal="left"/>
    </xf>
    <xf numFmtId="0" fontId="1" fillId="0" borderId="1" xfId="0" applyFont="1" applyBorder="1">
      <alignment vertical="center"/>
    </xf>
    <xf numFmtId="0" fontId="3" fillId="0" borderId="1" xfId="50" applyFont="1" applyFill="1" applyBorder="1" applyAlignment="1">
      <alignment horizontal="left"/>
    </xf>
    <xf numFmtId="0" fontId="3" fillId="0" borderId="1" xfId="50" applyFont="1" applyBorder="1" applyAlignment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49" applyFont="1" applyFill="1" applyBorder="1" applyAlignment="1">
      <alignment horizontal="left"/>
    </xf>
    <xf numFmtId="14" fontId="1" fillId="0" borderId="1" xfId="49" applyNumberFormat="1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49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wrapText="1"/>
    </xf>
    <xf numFmtId="0" fontId="1" fillId="0" borderId="1" xfId="50" applyFont="1" applyFill="1" applyBorder="1" applyAlignment="1">
      <alignment vertical="center" wrapText="1"/>
    </xf>
    <xf numFmtId="0" fontId="1" fillId="0" borderId="1" xfId="50" applyFont="1" applyFill="1" applyBorder="1" applyAlignment="1">
      <alignment vertical="center"/>
    </xf>
    <xf numFmtId="0" fontId="1" fillId="0" borderId="1" xfId="50" applyFont="1" applyFill="1" applyBorder="1" applyAlignment="1">
      <alignment vertical="center"/>
    </xf>
    <xf numFmtId="0" fontId="1" fillId="0" borderId="1" xfId="49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50" applyFont="1" applyFill="1" applyBorder="1" applyAlignment="1">
      <alignment horizontal="justify" vertical="center" wrapText="1"/>
    </xf>
    <xf numFmtId="0" fontId="1" fillId="0" borderId="1" xfId="49" applyFont="1" applyFill="1" applyBorder="1" applyAlignment="1">
      <alignment wrapText="1"/>
    </xf>
    <xf numFmtId="0" fontId="1" fillId="0" borderId="1" xfId="49" applyFont="1" applyFill="1" applyBorder="1"/>
    <xf numFmtId="0" fontId="6" fillId="0" borderId="0" xfId="0" applyFont="1">
      <alignment vertical="center"/>
    </xf>
    <xf numFmtId="0" fontId="1" fillId="0" borderId="0" xfId="0" applyFo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 3" xfId="50"/>
    <cellStyle name="常规 4 3" xfId="51"/>
    <cellStyle name="常规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B6" sqref="B6"/>
    </sheetView>
  </sheetViews>
  <sheetFormatPr defaultColWidth="9" defaultRowHeight="13.5" outlineLevelCol="5"/>
  <cols>
    <col min="1" max="1" width="9" style="10"/>
    <col min="2" max="2" width="9.625" style="10" customWidth="1"/>
    <col min="3" max="3" width="26.625" style="10" customWidth="1"/>
    <col min="4" max="4" width="11.5" style="10"/>
    <col min="5" max="5" width="8.75" style="10" customWidth="1"/>
    <col min="6" max="6" width="13.125" style="10" customWidth="1"/>
    <col min="7" max="16384" width="9" style="10"/>
  </cols>
  <sheetData>
    <row r="1" spans="1:1">
      <c r="A1" s="11" t="s">
        <v>0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9" t="s">
        <v>5</v>
      </c>
      <c r="F2" s="9" t="s">
        <v>6</v>
      </c>
    </row>
    <row r="3" spans="1:6">
      <c r="A3" s="4" t="s">
        <v>7</v>
      </c>
      <c r="B3" s="12" t="s">
        <v>8</v>
      </c>
      <c r="C3" s="13" t="s">
        <v>9</v>
      </c>
      <c r="D3" s="14">
        <v>12000</v>
      </c>
      <c r="E3" s="4" t="s">
        <v>10</v>
      </c>
      <c r="F3" s="14">
        <v>0</v>
      </c>
    </row>
    <row r="4" spans="1:6">
      <c r="A4" s="4" t="s">
        <v>7</v>
      </c>
      <c r="B4" s="12" t="s">
        <v>11</v>
      </c>
      <c r="C4" s="13" t="s">
        <v>12</v>
      </c>
      <c r="D4" s="14">
        <v>2160</v>
      </c>
      <c r="E4" s="4" t="s">
        <v>10</v>
      </c>
      <c r="F4" s="14">
        <v>0</v>
      </c>
    </row>
    <row r="5" spans="1:6">
      <c r="A5" s="4" t="s">
        <v>7</v>
      </c>
      <c r="B5" s="12" t="s">
        <v>11</v>
      </c>
      <c r="C5" s="13" t="s">
        <v>13</v>
      </c>
      <c r="D5" s="14">
        <v>1440</v>
      </c>
      <c r="E5" s="4" t="s">
        <v>10</v>
      </c>
      <c r="F5" s="14">
        <v>0</v>
      </c>
    </row>
    <row r="6" spans="1:6">
      <c r="A6" s="4" t="s">
        <v>7</v>
      </c>
      <c r="B6" s="12" t="s">
        <v>8</v>
      </c>
      <c r="C6" s="13" t="s">
        <v>14</v>
      </c>
      <c r="D6" s="14">
        <v>4200</v>
      </c>
      <c r="E6" s="4" t="s">
        <v>10</v>
      </c>
      <c r="F6" s="14">
        <v>0</v>
      </c>
    </row>
    <row r="7" spans="1:6">
      <c r="A7" s="4" t="s">
        <v>7</v>
      </c>
      <c r="B7" s="12" t="s">
        <v>15</v>
      </c>
      <c r="C7" s="15" t="s">
        <v>16</v>
      </c>
      <c r="D7" s="14">
        <v>4183.2</v>
      </c>
      <c r="E7" s="14"/>
      <c r="F7" s="14">
        <f t="shared" ref="F7:F11" si="0">D7</f>
        <v>4183.2</v>
      </c>
    </row>
    <row r="8" ht="25.5" spans="1:6">
      <c r="A8" s="4" t="s">
        <v>7</v>
      </c>
      <c r="B8" s="16" t="s">
        <v>17</v>
      </c>
      <c r="C8" s="16" t="s">
        <v>18</v>
      </c>
      <c r="D8" s="14">
        <v>9866.976</v>
      </c>
      <c r="E8" s="14"/>
      <c r="F8" s="14">
        <f t="shared" si="0"/>
        <v>9866.976</v>
      </c>
    </row>
    <row r="9" ht="25.5" spans="1:6">
      <c r="A9" s="4" t="s">
        <v>7</v>
      </c>
      <c r="B9" s="16" t="s">
        <v>17</v>
      </c>
      <c r="C9" s="16" t="s">
        <v>19</v>
      </c>
      <c r="D9" s="14">
        <v>9866.976</v>
      </c>
      <c r="E9" s="14"/>
      <c r="F9" s="14">
        <f t="shared" si="0"/>
        <v>9866.976</v>
      </c>
    </row>
    <row r="10" ht="25.5" spans="1:6">
      <c r="A10" s="4" t="s">
        <v>7</v>
      </c>
      <c r="B10" s="16" t="s">
        <v>17</v>
      </c>
      <c r="C10" s="16" t="s">
        <v>20</v>
      </c>
      <c r="D10" s="14">
        <v>9866.976</v>
      </c>
      <c r="E10" s="14"/>
      <c r="F10" s="14">
        <f t="shared" si="0"/>
        <v>9866.976</v>
      </c>
    </row>
    <row r="11" ht="25.5" spans="1:6">
      <c r="A11" s="4" t="s">
        <v>7</v>
      </c>
      <c r="B11" s="16" t="s">
        <v>17</v>
      </c>
      <c r="C11" s="16" t="s">
        <v>21</v>
      </c>
      <c r="D11" s="14">
        <v>9866.976</v>
      </c>
      <c r="E11" s="14"/>
      <c r="F11" s="14">
        <f t="shared" si="0"/>
        <v>9866.976</v>
      </c>
    </row>
    <row r="12" ht="25.5" spans="1:6">
      <c r="A12" s="4" t="s">
        <v>7</v>
      </c>
      <c r="B12" s="16" t="s">
        <v>22</v>
      </c>
      <c r="C12" s="16" t="s">
        <v>23</v>
      </c>
      <c r="D12" s="14">
        <v>1811.88</v>
      </c>
      <c r="E12" s="4" t="s">
        <v>10</v>
      </c>
      <c r="F12" s="14">
        <v>0</v>
      </c>
    </row>
    <row r="13" ht="25.5" spans="1:6">
      <c r="A13" s="4" t="s">
        <v>7</v>
      </c>
      <c r="B13" s="16" t="s">
        <v>22</v>
      </c>
      <c r="C13" s="17" t="s">
        <v>24</v>
      </c>
      <c r="D13" s="14">
        <v>1811.88</v>
      </c>
      <c r="E13" s="4" t="s">
        <v>10</v>
      </c>
      <c r="F13" s="14">
        <v>0</v>
      </c>
    </row>
    <row r="14" spans="1:6">
      <c r="A14" s="4" t="s">
        <v>7</v>
      </c>
      <c r="B14" s="16" t="s">
        <v>22</v>
      </c>
      <c r="C14" s="18" t="s">
        <v>25</v>
      </c>
      <c r="D14" s="14">
        <v>1811.88</v>
      </c>
      <c r="E14" s="4" t="s">
        <v>10</v>
      </c>
      <c r="F14" s="14">
        <v>0</v>
      </c>
    </row>
    <row r="15" spans="1:6">
      <c r="A15" s="4" t="s">
        <v>7</v>
      </c>
      <c r="B15" s="16" t="s">
        <v>22</v>
      </c>
      <c r="C15" s="19" t="s">
        <v>26</v>
      </c>
      <c r="D15" s="14">
        <v>7793.352</v>
      </c>
      <c r="E15" s="4" t="s">
        <v>27</v>
      </c>
      <c r="F15" s="14">
        <f>F11</f>
        <v>9866.976</v>
      </c>
    </row>
    <row r="16" spans="1:6">
      <c r="A16" s="4" t="s">
        <v>7</v>
      </c>
      <c r="B16" s="16" t="s">
        <v>22</v>
      </c>
      <c r="C16" s="18" t="s">
        <v>28</v>
      </c>
      <c r="D16" s="14">
        <v>3875.676</v>
      </c>
      <c r="E16" s="4" t="s">
        <v>10</v>
      </c>
      <c r="F16" s="14">
        <v>0</v>
      </c>
    </row>
    <row r="17" spans="1:6">
      <c r="A17" s="4" t="s">
        <v>7</v>
      </c>
      <c r="B17" s="16" t="s">
        <v>22</v>
      </c>
      <c r="C17" s="12" t="s">
        <v>29</v>
      </c>
      <c r="D17" s="14">
        <v>2021.88</v>
      </c>
      <c r="E17" s="4" t="s">
        <v>10</v>
      </c>
      <c r="F17" s="14">
        <v>0</v>
      </c>
    </row>
    <row r="18" spans="1:6">
      <c r="A18" s="4" t="s">
        <v>7</v>
      </c>
      <c r="B18" s="16" t="s">
        <v>30</v>
      </c>
      <c r="C18" s="20" t="s">
        <v>31</v>
      </c>
      <c r="D18" s="14">
        <v>2021.88</v>
      </c>
      <c r="E18" s="4"/>
      <c r="F18" s="14">
        <f>D18</f>
        <v>2021.88</v>
      </c>
    </row>
    <row r="19" spans="1:6">
      <c r="A19" s="4" t="s">
        <v>7</v>
      </c>
      <c r="B19" s="21" t="s">
        <v>32</v>
      </c>
      <c r="C19" s="22" t="s">
        <v>33</v>
      </c>
      <c r="D19" s="14">
        <v>14632.8</v>
      </c>
      <c r="E19" s="4" t="s">
        <v>34</v>
      </c>
      <c r="F19" s="14">
        <f>D19/2</f>
        <v>7316.4</v>
      </c>
    </row>
    <row r="20" spans="1:6">
      <c r="A20" s="4" t="s">
        <v>7</v>
      </c>
      <c r="B20" s="21" t="s">
        <v>32</v>
      </c>
      <c r="C20" s="22" t="s">
        <v>33</v>
      </c>
      <c r="D20" s="14">
        <v>5754</v>
      </c>
      <c r="E20" s="4" t="s">
        <v>34</v>
      </c>
      <c r="F20" s="14">
        <f t="shared" ref="F20:F26" si="1">D20</f>
        <v>5754</v>
      </c>
    </row>
    <row r="21" spans="1:6">
      <c r="A21" s="4" t="s">
        <v>7</v>
      </c>
      <c r="B21" s="21" t="s">
        <v>32</v>
      </c>
      <c r="C21" s="22" t="s">
        <v>33</v>
      </c>
      <c r="D21" s="14">
        <v>4872</v>
      </c>
      <c r="E21" s="4" t="s">
        <v>34</v>
      </c>
      <c r="F21" s="14">
        <f t="shared" si="1"/>
        <v>4872</v>
      </c>
    </row>
    <row r="22" spans="1:6">
      <c r="A22" s="4" t="s">
        <v>7</v>
      </c>
      <c r="B22" s="21" t="s">
        <v>32</v>
      </c>
      <c r="C22" s="22" t="s">
        <v>35</v>
      </c>
      <c r="D22" s="14">
        <v>0</v>
      </c>
      <c r="E22" s="14"/>
      <c r="F22" s="14">
        <f t="shared" si="1"/>
        <v>0</v>
      </c>
    </row>
    <row r="23" spans="1:6">
      <c r="A23" s="4" t="s">
        <v>7</v>
      </c>
      <c r="B23" s="21" t="s">
        <v>32</v>
      </c>
      <c r="C23" s="22" t="s">
        <v>35</v>
      </c>
      <c r="D23" s="14">
        <v>4872</v>
      </c>
      <c r="E23" s="14"/>
      <c r="F23" s="14">
        <f t="shared" si="1"/>
        <v>4872</v>
      </c>
    </row>
    <row r="24" spans="1:6">
      <c r="A24" s="4" t="s">
        <v>7</v>
      </c>
      <c r="B24" s="21" t="s">
        <v>36</v>
      </c>
      <c r="C24" s="15" t="s">
        <v>37</v>
      </c>
      <c r="D24" s="14">
        <v>2101.344</v>
      </c>
      <c r="E24" s="14"/>
      <c r="F24" s="14">
        <f t="shared" si="1"/>
        <v>2101.344</v>
      </c>
    </row>
    <row r="25" spans="1:6">
      <c r="A25" s="4" t="s">
        <v>38</v>
      </c>
      <c r="B25" s="12" t="s">
        <v>15</v>
      </c>
      <c r="C25" s="15" t="s">
        <v>39</v>
      </c>
      <c r="D25" s="14">
        <v>4183.2</v>
      </c>
      <c r="E25" s="14"/>
      <c r="F25" s="14">
        <f t="shared" si="1"/>
        <v>4183.2</v>
      </c>
    </row>
    <row r="26" ht="25.5" spans="1:6">
      <c r="A26" s="4" t="s">
        <v>38</v>
      </c>
      <c r="B26" s="16" t="s">
        <v>17</v>
      </c>
      <c r="C26" s="16" t="s">
        <v>40</v>
      </c>
      <c r="D26" s="14">
        <v>9866.976</v>
      </c>
      <c r="E26" s="14"/>
      <c r="F26" s="14">
        <f t="shared" si="1"/>
        <v>9866.976</v>
      </c>
    </row>
    <row r="27" ht="25.5" spans="1:6">
      <c r="A27" s="4" t="s">
        <v>38</v>
      </c>
      <c r="B27" s="16" t="s">
        <v>22</v>
      </c>
      <c r="C27" s="23" t="s">
        <v>41</v>
      </c>
      <c r="D27" s="14">
        <v>1811.88</v>
      </c>
      <c r="E27" s="4" t="s">
        <v>10</v>
      </c>
      <c r="F27" s="14">
        <v>0</v>
      </c>
    </row>
    <row r="28" ht="25.5" spans="1:6">
      <c r="A28" s="4" t="s">
        <v>38</v>
      </c>
      <c r="B28" s="16" t="s">
        <v>22</v>
      </c>
      <c r="C28" s="23" t="s">
        <v>42</v>
      </c>
      <c r="D28" s="14">
        <v>1811.88</v>
      </c>
      <c r="E28" s="4" t="s">
        <v>10</v>
      </c>
      <c r="F28" s="14">
        <v>0</v>
      </c>
    </row>
    <row r="29" ht="25.5" spans="1:6">
      <c r="A29" s="4" t="s">
        <v>38</v>
      </c>
      <c r="B29" s="16" t="s">
        <v>22</v>
      </c>
      <c r="C29" s="23" t="s">
        <v>43</v>
      </c>
      <c r="D29" s="14">
        <v>1811.88</v>
      </c>
      <c r="E29" s="4" t="s">
        <v>10</v>
      </c>
      <c r="F29" s="14">
        <v>0</v>
      </c>
    </row>
    <row r="30" spans="1:6">
      <c r="A30" s="4" t="s">
        <v>38</v>
      </c>
      <c r="B30" s="16" t="s">
        <v>22</v>
      </c>
      <c r="C30" s="19" t="s">
        <v>44</v>
      </c>
      <c r="D30" s="14">
        <v>2231.88</v>
      </c>
      <c r="E30" s="4" t="s">
        <v>45</v>
      </c>
      <c r="F30" s="14">
        <f t="shared" ref="F30:F36" si="2">D30</f>
        <v>2231.88</v>
      </c>
    </row>
    <row r="31" spans="1:6">
      <c r="A31" s="4" t="s">
        <v>38</v>
      </c>
      <c r="B31" s="16" t="s">
        <v>22</v>
      </c>
      <c r="C31" s="24" t="s">
        <v>46</v>
      </c>
      <c r="D31" s="14">
        <v>2021.88</v>
      </c>
      <c r="E31" s="4" t="s">
        <v>10</v>
      </c>
      <c r="F31" s="14">
        <v>0</v>
      </c>
    </row>
    <row r="32" spans="1:6">
      <c r="A32" s="4" t="s">
        <v>38</v>
      </c>
      <c r="B32" s="16" t="s">
        <v>22</v>
      </c>
      <c r="C32" s="24" t="s">
        <v>47</v>
      </c>
      <c r="D32" s="14">
        <v>2021.88</v>
      </c>
      <c r="E32" s="4" t="s">
        <v>10</v>
      </c>
      <c r="F32" s="14">
        <v>0</v>
      </c>
    </row>
    <row r="33" spans="1:6">
      <c r="A33" s="4" t="s">
        <v>38</v>
      </c>
      <c r="B33" s="16" t="s">
        <v>30</v>
      </c>
      <c r="C33" s="20" t="s">
        <v>48</v>
      </c>
      <c r="D33" s="14">
        <v>2021.88</v>
      </c>
      <c r="E33" s="14"/>
      <c r="F33" s="14">
        <f t="shared" si="2"/>
        <v>2021.88</v>
      </c>
    </row>
    <row r="34" spans="1:6">
      <c r="A34" s="4" t="s">
        <v>38</v>
      </c>
      <c r="B34" s="21" t="s">
        <v>32</v>
      </c>
      <c r="C34" s="22" t="s">
        <v>49</v>
      </c>
      <c r="D34" s="14">
        <v>2150.4</v>
      </c>
      <c r="E34" s="14"/>
      <c r="F34" s="14">
        <f t="shared" si="2"/>
        <v>2150.4</v>
      </c>
    </row>
    <row r="35" spans="1:6">
      <c r="A35" s="4" t="s">
        <v>38</v>
      </c>
      <c r="B35" s="21" t="s">
        <v>32</v>
      </c>
      <c r="C35" s="22" t="s">
        <v>50</v>
      </c>
      <c r="D35" s="14">
        <v>1730.4</v>
      </c>
      <c r="E35" s="14"/>
      <c r="F35" s="14">
        <f t="shared" si="2"/>
        <v>1730.4</v>
      </c>
    </row>
    <row r="36" spans="1:6">
      <c r="A36" s="4" t="s">
        <v>38</v>
      </c>
      <c r="B36" s="21" t="s">
        <v>36</v>
      </c>
      <c r="C36" s="15" t="s">
        <v>51</v>
      </c>
      <c r="D36" s="14">
        <v>1050.672</v>
      </c>
      <c r="E36" s="14"/>
      <c r="F36" s="14">
        <f t="shared" si="2"/>
        <v>1050.672</v>
      </c>
    </row>
    <row r="37" spans="4:6">
      <c r="D37" s="10">
        <f>SUM(D3:D36)</f>
        <v>149546.484</v>
      </c>
      <c r="E37" s="26"/>
      <c r="F37" s="26">
        <f>SUM(F3:F36)</f>
        <v>103691.112</v>
      </c>
    </row>
    <row r="39" spans="1:1">
      <c r="A39" s="25" t="s">
        <v>52</v>
      </c>
    </row>
  </sheetData>
  <sortState ref="A2:D3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L10" sqref="L10"/>
    </sheetView>
  </sheetViews>
  <sheetFormatPr defaultColWidth="9" defaultRowHeight="12.75" outlineLevelCol="5"/>
  <cols>
    <col min="1" max="2" width="9" style="1"/>
    <col min="3" max="3" width="12" style="1" customWidth="1"/>
    <col min="4" max="4" width="10.375" style="1" customWidth="1"/>
    <col min="5" max="5" width="9" style="1"/>
    <col min="6" max="6" width="13.125" style="1" customWidth="1"/>
    <col min="7" max="16384" width="9" style="1"/>
  </cols>
  <sheetData>
    <row r="1" spans="1:1">
      <c r="A1" s="2" t="s">
        <v>53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9" t="s">
        <v>5</v>
      </c>
      <c r="F2" s="9" t="s">
        <v>6</v>
      </c>
    </row>
    <row r="3" spans="1:6">
      <c r="A3" s="4" t="s">
        <v>7</v>
      </c>
      <c r="B3" s="4" t="s">
        <v>11</v>
      </c>
      <c r="C3" s="5" t="s">
        <v>54</v>
      </c>
      <c r="D3" s="6">
        <v>1500</v>
      </c>
      <c r="E3" s="6" t="s">
        <v>10</v>
      </c>
      <c r="F3" s="6">
        <f>0</f>
        <v>0</v>
      </c>
    </row>
    <row r="4" spans="1:6">
      <c r="A4" s="4" t="s">
        <v>7</v>
      </c>
      <c r="B4" s="4" t="s">
        <v>55</v>
      </c>
      <c r="C4" s="5" t="s">
        <v>12</v>
      </c>
      <c r="D4" s="6">
        <v>400</v>
      </c>
      <c r="E4" s="6" t="s">
        <v>10</v>
      </c>
      <c r="F4" s="6">
        <f>0</f>
        <v>0</v>
      </c>
    </row>
    <row r="5" spans="1:6">
      <c r="A5" s="4" t="s">
        <v>7</v>
      </c>
      <c r="B5" s="4" t="s">
        <v>8</v>
      </c>
      <c r="C5" s="7" t="s">
        <v>14</v>
      </c>
      <c r="D5" s="6">
        <v>2500</v>
      </c>
      <c r="E5" s="6" t="s">
        <v>10</v>
      </c>
      <c r="F5" s="6">
        <f>0</f>
        <v>0</v>
      </c>
    </row>
    <row r="6" spans="1:6">
      <c r="A6" s="4" t="s">
        <v>7</v>
      </c>
      <c r="B6" s="4" t="s">
        <v>56</v>
      </c>
      <c r="C6" s="8" t="s">
        <v>57</v>
      </c>
      <c r="D6" s="6">
        <v>64689.205</v>
      </c>
      <c r="E6" s="6"/>
      <c r="F6" s="6">
        <f t="shared" ref="F6:F8" si="0">D6</f>
        <v>64689.205</v>
      </c>
    </row>
    <row r="7" spans="1:6">
      <c r="A7" s="4" t="s">
        <v>7</v>
      </c>
      <c r="B7" s="4" t="s">
        <v>56</v>
      </c>
      <c r="C7" s="8" t="s">
        <v>57</v>
      </c>
      <c r="D7" s="6">
        <v>34543.705</v>
      </c>
      <c r="E7" s="6"/>
      <c r="F7" s="6">
        <f t="shared" si="0"/>
        <v>34543.705</v>
      </c>
    </row>
    <row r="8" spans="1:6">
      <c r="A8" s="4" t="s">
        <v>7</v>
      </c>
      <c r="B8" s="4" t="s">
        <v>56</v>
      </c>
      <c r="C8" s="8" t="s">
        <v>57</v>
      </c>
      <c r="D8" s="6">
        <v>9617.86</v>
      </c>
      <c r="E8" s="6"/>
      <c r="F8" s="6">
        <f t="shared" si="0"/>
        <v>9617.86</v>
      </c>
    </row>
    <row r="9" spans="4:6">
      <c r="D9" s="1">
        <f>SUM(D3:D8)</f>
        <v>113250.77</v>
      </c>
      <c r="F9" s="1">
        <f>SUM(F3:F8)</f>
        <v>108850.77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AI财有道</vt:lpstr>
      <vt:lpstr>AI底座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macx</dc:creator>
  <cp:lastModifiedBy>immortal</cp:lastModifiedBy>
  <dcterms:created xsi:type="dcterms:W3CDTF">2026-01-09T09:33:36Z</dcterms:created>
  <dcterms:modified xsi:type="dcterms:W3CDTF">2026-01-09T10:00:25Z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9594C7BA3D9E5A45F05A60697C0036FF_41</vt:lpwstr>
  </property>
  <property fmtid="{D5CDD505-2E9C-101B-9397-08002B2CF9AE}" pid="3" name="KSOProductBuildVer">
    <vt:lpwstr>2052-12.8.2.1119</vt:lpwstr>
  </property>
</Properties>
</file>