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activeTab="1"/>
  </bookViews>
  <sheets>
    <sheet name="合同报价" sheetId="1" r:id="rId1"/>
    <sheet name="采购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<sst xmlns="http://schemas.openxmlformats.org/spreadsheetml/2006/main" count="226" uniqueCount="117">
  <si>
    <t>二期采购</t>
  </si>
  <si>
    <t>一期商务合同</t>
  </si>
  <si>
    <t>一期实际使用</t>
  </si>
  <si>
    <t>产品名称</t>
  </si>
  <si>
    <t>产品描述</t>
  </si>
  <si>
    <t>采购方式</t>
  </si>
  <si>
    <t>采购阶梯</t>
  </si>
  <si>
    <t>优惠后单价</t>
  </si>
  <si>
    <t>产品有效期</t>
  </si>
  <si>
    <t>优惠报价说明</t>
  </si>
  <si>
    <t>预估数量</t>
  </si>
  <si>
    <t>含税单价</t>
  </si>
  <si>
    <r>
      <rPr>
        <sz val="12"/>
        <color rgb="FF000000"/>
        <rFont val="Microsoft YaHei Light"/>
        <charset val="134"/>
      </rPr>
      <t xml:space="preserve">Quick Service </t>
    </r>
    <r>
      <rPr>
        <i/>
        <sz val="12"/>
        <color rgb="FF000000"/>
        <rFont val="Microsoft YaHei Light"/>
        <charset val="134"/>
      </rPr>
      <t>文本机器人</t>
    </r>
  </si>
  <si>
    <t>Quick Service 文本机器人                             
小模型知识库（FAQ、多轮、FAQ抽取）
大模型知识库（RAG、记忆、工具、任务流）
知识运营平台（知识标注、训练、测试）
3个机器人</t>
  </si>
  <si>
    <t>年/套</t>
  </si>
  <si>
    <t>&gt;=1</t>
  </si>
  <si>
    <t>下单后1年内</t>
  </si>
  <si>
    <t>/</t>
  </si>
  <si>
    <t>Quick Service 在线客服</t>
  </si>
  <si>
    <r>
      <rPr>
        <sz val="12"/>
        <color rgb="FF000000"/>
        <rFont val="Microsoft YaHei Light"/>
        <charset val="134"/>
      </rPr>
      <t>Quick Service 在线客服</t>
    </r>
    <r>
      <rPr>
        <sz val="12"/>
        <color theme="1"/>
        <rFont val="Microsoft YaHei Light"/>
        <charset val="134"/>
      </rPr>
      <t xml:space="preserve">
</t>
    </r>
    <r>
      <rPr>
        <sz val="12"/>
        <color rgb="FF000000"/>
        <rFont val="Microsoft YaHei Light"/>
        <charset val="134"/>
      </rPr>
      <t>全渠道、在线聊天IM、客服助手（会员卡片、FAQ、服务小记）、数据报表+SOP+规则路由</t>
    </r>
  </si>
  <si>
    <t>坐席/年</t>
  </si>
  <si>
    <t>&gt;=15</t>
  </si>
  <si>
    <t>坐席数不低于15个</t>
  </si>
  <si>
    <t>坐席/月</t>
  </si>
  <si>
    <t>原价，无优惠</t>
  </si>
  <si>
    <t>Quick Service智能质检-在线</t>
  </si>
  <si>
    <t>条</t>
  </si>
  <si>
    <t>&gt;=150000</t>
  </si>
  <si>
    <t>15万条起购，年度下单量需达到30万条</t>
  </si>
  <si>
    <t>Quick Service 呼入机器人</t>
  </si>
  <si>
    <t>Quick Service 呼入机器人，为客户提供呼入机器人的冷启服务,按照场景数量计费</t>
  </si>
  <si>
    <t>路并发/年</t>
  </si>
  <si>
    <t>&gt;=5</t>
  </si>
  <si>
    <t>采购5路优惠报价52000</t>
  </si>
  <si>
    <t>Quick Service 智能辅助</t>
  </si>
  <si>
    <t>Quick Service 智能辅助（智能工单，智能知识推荐，智能小结）</t>
  </si>
  <si>
    <t>&gt;=35</t>
  </si>
  <si>
    <t>坐席数不低于35个</t>
  </si>
  <si>
    <t>Quick Service 大模型智能语音外呼</t>
  </si>
  <si>
    <t>Quick Service 大模型智能语音外呼，客户自行提供明文手机号、话术、外呼方案等按照实际接通时长计算，不满一分钟按一分钟计算；默认支持20路并发（租户维度）</t>
  </si>
  <si>
    <t>分钟</t>
  </si>
  <si>
    <t>&gt;=100000</t>
  </si>
  <si>
    <t>10万分钟起购</t>
  </si>
  <si>
    <t>智能语音外呼</t>
  </si>
  <si>
    <t>Quick Service 热线客服</t>
  </si>
  <si>
    <t>热线IVR、语音呼入、客服助手（会员卡片、FAQ、服务小记）、数据报表、SOP</t>
  </si>
  <si>
    <t>&gt;=20</t>
  </si>
  <si>
    <t>坐席数不低于20个</t>
  </si>
  <si>
    <t>呼叫坐席账号</t>
  </si>
  <si>
    <t>9个*12月</t>
  </si>
  <si>
    <t>298元/个/月</t>
  </si>
  <si>
    <t>含热线工作台语音转文本智能识别，以及智能质检语音转文本智能识别</t>
  </si>
  <si>
    <t>小时</t>
  </si>
  <si>
    <t>&gt;=10000</t>
  </si>
  <si>
    <t>1万小时起购，年度下单量需达到2万小时</t>
  </si>
  <si>
    <t>ASR语音转文本智能识别</t>
  </si>
  <si>
    <t>2,500小时</t>
  </si>
  <si>
    <t>2.4元/小时</t>
  </si>
  <si>
    <t>智能质检-热线,收取时长流量费用（不包含ASR费用）</t>
  </si>
  <si>
    <t>智能质检-热线</t>
  </si>
  <si>
    <t>7个*12月</t>
  </si>
  <si>
    <t>68元/个/月</t>
  </si>
  <si>
    <t>Quick Service 工单客服</t>
  </si>
  <si>
    <t>支持企业内团队精细化管理高效完成任务协作，支持对特定业务场景的定制扩展（自定义字段、工单模板、任务分配、流程编排、SLA、预警、自动化、开放SDK）</t>
  </si>
  <si>
    <t>&gt;=50</t>
  </si>
  <si>
    <t>坐席数不低于50个</t>
  </si>
  <si>
    <t>工单客服账号</t>
  </si>
  <si>
    <t>12个*12月</t>
  </si>
  <si>
    <t>99元/个/月</t>
  </si>
  <si>
    <t>在工单客服基础上，增加邮件能力模块，包括邮件收发、邮件查看、邮件关联工单等能力</t>
  </si>
  <si>
    <t>坐席数不低于5个</t>
  </si>
  <si>
    <t>服务名称</t>
  </si>
  <si>
    <t>金额</t>
  </si>
  <si>
    <t>备注</t>
  </si>
  <si>
    <t>Quick Service 标准服务包</t>
  </si>
  <si>
    <t>按交付范围的总金额为45万</t>
  </si>
  <si>
    <t>智能质检-工单</t>
  </si>
  <si>
    <t>二期工单不做智能质检</t>
  </si>
  <si>
    <t>机器人外呼-号码</t>
  </si>
  <si>
    <t>1个*12月</t>
  </si>
  <si>
    <t>35元/个/月</t>
  </si>
  <si>
    <t>机器人外呼</t>
  </si>
  <si>
    <t>3,000小时</t>
  </si>
  <si>
    <t>10.8元/小时</t>
  </si>
  <si>
    <t>智能质检-热线流量</t>
  </si>
  <si>
    <t>0.5元/小时</t>
  </si>
  <si>
    <t>智能质检-工单流量</t>
  </si>
  <si>
    <t>156,250条</t>
  </si>
  <si>
    <t>0.08元/条</t>
  </si>
  <si>
    <t>智能部分二期以大模型套件代替传统智能套件</t>
  </si>
  <si>
    <t>一期采购</t>
  </si>
  <si>
    <t>一期使用</t>
  </si>
  <si>
    <t>数量单位</t>
  </si>
  <si>
    <t>第一批采购数量</t>
  </si>
  <si>
    <t>第一批采购金额</t>
  </si>
  <si>
    <t>第二批采购数量</t>
  </si>
  <si>
    <t>第二批采购金额</t>
  </si>
  <si>
    <t>第三批采购数量</t>
  </si>
  <si>
    <t>第三批采购金额</t>
  </si>
  <si>
    <t>数据量</t>
  </si>
  <si>
    <t>含税总价（元）</t>
  </si>
  <si>
    <t>Quick Service 呼入机器人，3路并发起购，为客户提供呼入机器人的冷启服务,按照场景数量计费</t>
  </si>
  <si>
    <t>并发/年</t>
  </si>
  <si>
    <t>一期使用的规模较小的模型语音外呼</t>
  </si>
  <si>
    <t>在工单客服基础上，增加邮件能力模块，包括邮件收发、邮件查看、邮件关联工单等能力（工单产品统一用Quick Service工单客服的产品下单）</t>
  </si>
  <si>
    <t>总计</t>
  </si>
  <si>
    <t>第一笔采购数量</t>
  </si>
  <si>
    <t>第一笔采购金额</t>
  </si>
  <si>
    <t>第二笔采购数量</t>
  </si>
  <si>
    <t>第二笔采购金额</t>
  </si>
  <si>
    <t>第三笔采购数量</t>
  </si>
  <si>
    <t>第三笔采购金额</t>
  </si>
  <si>
    <t>远程业务专家服务</t>
  </si>
  <si>
    <t>人天</t>
  </si>
  <si>
    <t>现场业务专家服务</t>
  </si>
  <si>
    <t>远程技术开发服务</t>
  </si>
  <si>
    <t>现场技术开发服务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</si>
</sst>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2"/>
      <color rgb="FF000000"/>
      <name val="Microsoft YaHei Light"/>
      <charset val="134"/>
    </font>
    <font>
      <sz val="12"/>
      <color rgb="FF000000"/>
      <name val="Microsoft YaHei Light"/>
      <charset val="134"/>
    </font>
    <font>
      <b/>
      <sz val="14"/>
      <color rgb="FF000000"/>
      <name val="等线"/>
      <charset val="134"/>
    </font>
    <font>
      <b/>
      <sz val="11"/>
      <color rgb="FF000000"/>
      <name val="等线"/>
      <charset val="134"/>
    </font>
    <font>
      <sz val="12"/>
      <color theme="1"/>
      <name val="宋体-简"/>
      <charset val="134"/>
    </font>
    <font>
      <b/>
      <sz val="14"/>
      <color theme="1"/>
      <name val="等线"/>
      <charset val="134"/>
      <scheme val="minor"/>
    </font>
    <font>
      <sz val="12"/>
      <color theme="1"/>
      <name val="Microsoft YaHei Light"/>
      <charset val="134"/>
    </font>
    <font>
      <sz val="12"/>
      <color rgb="FFFF0000"/>
      <name val="等线"/>
      <charset val="134"/>
      <scheme val="minor"/>
    </font>
    <font>
      <sz val="11"/>
      <color rgb="FFFF0000"/>
      <name val="Microsoft YaHei Light"/>
      <charset val="134"/>
    </font>
    <font>
      <sz val="11"/>
      <color rgb="FF000000"/>
      <name val="Microsoft YaHei Light"/>
      <charset val="134"/>
    </font>
    <font>
      <sz val="12"/>
      <name val="Microsoft YaHei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2"/>
      <color rgb="FF000000"/>
      <name val="Microsoft YaHei Light"/>
      <charset val="134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1" fillId="0" borderId="1" xfId="0" applyFont="1" applyBorder="1">
      <alignment vertical="center"/>
    </xf>
    <xf numFmtId="0" fontId="3" fillId="3" borderId="1" xfId="0" applyFont="1" applyFill="1" applyBorder="1" applyAlignment="1" applyProtection="1">
      <alignment vertical="center" wrapText="1"/>
    </xf>
    <xf numFmtId="0" fontId="3" fillId="4" borderId="1" xfId="0" applyFont="1" applyFill="1" applyBorder="1" applyAlignment="1" applyProtection="1">
      <alignment vertical="center" wrapText="1"/>
    </xf>
    <xf numFmtId="0" fontId="3" fillId="5" borderId="1" xfId="0" applyFont="1" applyFill="1" applyBorder="1" applyAlignment="1" applyProtection="1">
      <alignment vertical="center" wrapText="1"/>
    </xf>
    <xf numFmtId="0" fontId="3" fillId="6" borderId="1" xfId="0" applyFont="1" applyFill="1" applyBorder="1" applyAlignment="1" applyProtection="1">
      <alignment vertical="center" wrapText="1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vertical="center" wrapText="1"/>
    </xf>
    <xf numFmtId="0" fontId="5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Protection="1">
      <alignment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 applyProtection="1">
      <alignment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3" fontId="0" fillId="0" borderId="3" xfId="0" applyNumberFormat="1" applyBorder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3" fontId="9" fillId="0" borderId="3" xfId="0" applyNumberFormat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vertical="center" wrapText="1"/>
    </xf>
    <xf numFmtId="0" fontId="10" fillId="0" borderId="0" xfId="0" applyFont="1">
      <alignment vertical="center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11" fillId="0" borderId="1" xfId="0" applyFont="1" applyBorder="1" applyProtection="1">
      <alignment vertical="center"/>
    </xf>
    <xf numFmtId="0" fontId="11" fillId="0" borderId="6" xfId="0" applyFont="1" applyBorder="1" applyProtection="1">
      <alignment vertical="center"/>
    </xf>
    <xf numFmtId="0" fontId="2" fillId="0" borderId="6" xfId="0" applyFont="1" applyBorder="1" applyAlignment="1" applyProtection="1">
      <alignment horizontal="left" vertical="center" wrapText="1"/>
    </xf>
    <xf numFmtId="0" fontId="2" fillId="0" borderId="7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vertical="center" wrapText="1"/>
    </xf>
    <xf numFmtId="0" fontId="9" fillId="0" borderId="2" xfId="0" applyFont="1" applyBorder="1">
      <alignment vertical="center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left" vertical="center" wrapText="1"/>
    </xf>
    <xf numFmtId="0" fontId="0" fillId="7" borderId="0" xfId="0" applyFill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9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7"/>
  <sheetViews>
    <sheetView workbookViewId="0">
      <selection activeCell="L1" sqref="L$1:L$1048576"/>
    </sheetView>
  </sheetViews>
  <sheetFormatPr defaultColWidth="8.84166666666667" defaultRowHeight="14" customHeight="1"/>
  <cols>
    <col min="1" max="1" width="22.6166666666667" style="1" customWidth="1"/>
    <col min="2" max="2" width="45.6166666666667" style="1" customWidth="1"/>
    <col min="3" max="3" width="15.075" style="1" customWidth="1"/>
    <col min="4" max="4" width="8.925" style="1" customWidth="1"/>
    <col min="5" max="5" width="10.925" style="1" customWidth="1"/>
    <col min="6" max="6" width="15.15" style="1" customWidth="1"/>
    <col min="7" max="7" width="21.3833333333333" style="1" customWidth="1"/>
    <col min="8" max="8" width="23.5" customWidth="1"/>
    <col min="9" max="9" width="9.625" customWidth="1"/>
    <col min="10" max="10" width="12.125" customWidth="1"/>
    <col min="11" max="11" width="23.5" customWidth="1"/>
  </cols>
  <sheetData>
    <row r="1" customHeight="1" spans="1:11">
      <c r="A1" s="1" t="s">
        <v>0</v>
      </c>
      <c r="H1" t="s">
        <v>1</v>
      </c>
      <c r="K1" t="s">
        <v>2</v>
      </c>
    </row>
    <row r="2" ht="18.75" customHeight="1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3</v>
      </c>
      <c r="I2" s="2" t="s">
        <v>10</v>
      </c>
      <c r="J2" s="2" t="s">
        <v>11</v>
      </c>
      <c r="K2" s="2" t="s">
        <v>3</v>
      </c>
    </row>
    <row r="3" ht="87.75" customHeight="1" spans="1:11">
      <c r="A3" s="3" t="s">
        <v>12</v>
      </c>
      <c r="B3" s="3" t="s">
        <v>13</v>
      </c>
      <c r="C3" s="28" t="s">
        <v>14</v>
      </c>
      <c r="D3" s="28" t="s">
        <v>15</v>
      </c>
      <c r="E3" s="28">
        <v>168000</v>
      </c>
      <c r="F3" s="3" t="s">
        <v>16</v>
      </c>
      <c r="G3" s="3" t="s">
        <v>17</v>
      </c>
      <c r="H3" s="21"/>
      <c r="I3" s="22"/>
      <c r="J3" s="22"/>
      <c r="K3" s="47"/>
    </row>
    <row r="4" ht="42.75" spans="1:11">
      <c r="A4" s="4" t="s">
        <v>18</v>
      </c>
      <c r="B4" s="4" t="s">
        <v>19</v>
      </c>
      <c r="C4" s="28" t="s">
        <v>20</v>
      </c>
      <c r="D4" s="29" t="s">
        <v>21</v>
      </c>
      <c r="E4" s="28">
        <v>2860.8</v>
      </c>
      <c r="F4" s="3" t="s">
        <v>16</v>
      </c>
      <c r="G4" s="42" t="s">
        <v>22</v>
      </c>
      <c r="H4" s="21"/>
      <c r="I4" s="22"/>
      <c r="J4" s="22"/>
      <c r="K4" s="48"/>
    </row>
    <row r="5" ht="42.75" spans="1:11">
      <c r="A5" s="4" t="s">
        <v>18</v>
      </c>
      <c r="B5" s="4" t="s">
        <v>19</v>
      </c>
      <c r="C5" s="28" t="s">
        <v>23</v>
      </c>
      <c r="D5" s="29" t="s">
        <v>15</v>
      </c>
      <c r="E5" s="28">
        <v>298</v>
      </c>
      <c r="F5" s="3" t="s">
        <v>16</v>
      </c>
      <c r="G5" s="3" t="s">
        <v>24</v>
      </c>
      <c r="H5" s="21"/>
      <c r="I5" s="22"/>
      <c r="J5" s="22"/>
      <c r="K5" s="48"/>
    </row>
    <row r="6" ht="28.5" spans="1:11">
      <c r="A6" s="4" t="s">
        <v>18</v>
      </c>
      <c r="B6" s="4" t="s">
        <v>25</v>
      </c>
      <c r="C6" s="28" t="s">
        <v>26</v>
      </c>
      <c r="D6" s="28" t="s">
        <v>27</v>
      </c>
      <c r="E6" s="28">
        <v>0.03</v>
      </c>
      <c r="F6" s="3" t="s">
        <v>16</v>
      </c>
      <c r="G6" s="3" t="s">
        <v>28</v>
      </c>
      <c r="H6" s="21"/>
      <c r="I6" s="22"/>
      <c r="J6" s="22"/>
      <c r="K6" s="48"/>
    </row>
    <row r="7" ht="30.75" customHeight="1" spans="1:11">
      <c r="A7" s="3" t="s">
        <v>29</v>
      </c>
      <c r="B7" s="3" t="s">
        <v>30</v>
      </c>
      <c r="C7" s="28" t="s">
        <v>31</v>
      </c>
      <c r="D7" s="28" t="s">
        <v>32</v>
      </c>
      <c r="E7" s="28">
        <v>10400</v>
      </c>
      <c r="F7" s="3" t="s">
        <v>16</v>
      </c>
      <c r="G7" s="3" t="s">
        <v>33</v>
      </c>
      <c r="H7" s="21"/>
      <c r="I7" s="22"/>
      <c r="J7" s="22"/>
      <c r="K7" s="48"/>
    </row>
    <row r="8" ht="30.75" customHeight="1" spans="1:11">
      <c r="A8" s="3" t="s">
        <v>34</v>
      </c>
      <c r="B8" s="3" t="s">
        <v>35</v>
      </c>
      <c r="C8" s="28" t="s">
        <v>20</v>
      </c>
      <c r="D8" s="28" t="s">
        <v>36</v>
      </c>
      <c r="E8" s="28">
        <v>2340</v>
      </c>
      <c r="F8" s="3" t="s">
        <v>16</v>
      </c>
      <c r="G8" s="3" t="s">
        <v>37</v>
      </c>
      <c r="H8" s="21"/>
      <c r="I8" s="22"/>
      <c r="J8" s="22"/>
      <c r="K8" s="3" t="s">
        <v>34</v>
      </c>
    </row>
    <row r="9" ht="72.75" customHeight="1" spans="1:11">
      <c r="A9" s="3" t="s">
        <v>38</v>
      </c>
      <c r="B9" s="3" t="s">
        <v>39</v>
      </c>
      <c r="C9" s="28" t="s">
        <v>40</v>
      </c>
      <c r="D9" s="28" t="s">
        <v>41</v>
      </c>
      <c r="E9" s="28">
        <v>0.18</v>
      </c>
      <c r="F9" s="3" t="s">
        <v>16</v>
      </c>
      <c r="G9" s="3" t="s">
        <v>42</v>
      </c>
      <c r="H9" s="21"/>
      <c r="I9" s="22"/>
      <c r="J9" s="22"/>
      <c r="K9" s="48" t="s">
        <v>43</v>
      </c>
    </row>
    <row r="10" ht="30.75" customHeight="1" spans="1:11">
      <c r="A10" s="6" t="s">
        <v>44</v>
      </c>
      <c r="B10" s="6" t="s">
        <v>45</v>
      </c>
      <c r="C10" s="28" t="s">
        <v>20</v>
      </c>
      <c r="D10" s="30" t="s">
        <v>46</v>
      </c>
      <c r="E10" s="28">
        <v>2860.8</v>
      </c>
      <c r="F10" s="3" t="s">
        <v>16</v>
      </c>
      <c r="G10" s="3" t="s">
        <v>47</v>
      </c>
      <c r="H10" s="21"/>
      <c r="I10" s="22"/>
      <c r="J10" s="22"/>
      <c r="K10" s="48"/>
    </row>
    <row r="11" ht="30.75" customHeight="1" spans="1:11">
      <c r="A11" s="6" t="s">
        <v>44</v>
      </c>
      <c r="B11" s="6" t="s">
        <v>45</v>
      </c>
      <c r="C11" s="28" t="s">
        <v>23</v>
      </c>
      <c r="D11" s="30" t="s">
        <v>15</v>
      </c>
      <c r="E11" s="28">
        <v>298</v>
      </c>
      <c r="F11" s="3" t="s">
        <v>16</v>
      </c>
      <c r="G11" s="3" t="s">
        <v>24</v>
      </c>
      <c r="H11" s="21" t="s">
        <v>48</v>
      </c>
      <c r="I11" s="22" t="s">
        <v>49</v>
      </c>
      <c r="J11" s="22" t="s">
        <v>50</v>
      </c>
      <c r="K11" s="21" t="s">
        <v>48</v>
      </c>
    </row>
    <row r="12" ht="30.75" customHeight="1" spans="1:11">
      <c r="A12" s="9" t="s">
        <v>44</v>
      </c>
      <c r="B12" s="9" t="s">
        <v>51</v>
      </c>
      <c r="C12" s="28" t="s">
        <v>52</v>
      </c>
      <c r="D12" s="28" t="s">
        <v>53</v>
      </c>
      <c r="E12" s="28">
        <v>2.1</v>
      </c>
      <c r="F12" s="3" t="s">
        <v>16</v>
      </c>
      <c r="G12" s="3" t="s">
        <v>54</v>
      </c>
      <c r="H12" s="21" t="s">
        <v>55</v>
      </c>
      <c r="I12" s="22" t="s">
        <v>56</v>
      </c>
      <c r="J12" s="22" t="s">
        <v>57</v>
      </c>
      <c r="K12" s="21" t="s">
        <v>55</v>
      </c>
    </row>
    <row r="13" ht="30.75" customHeight="1" spans="1:11">
      <c r="A13" s="9" t="s">
        <v>44</v>
      </c>
      <c r="B13" s="9" t="s">
        <v>58</v>
      </c>
      <c r="C13" s="28" t="s">
        <v>52</v>
      </c>
      <c r="D13" s="28" t="s">
        <v>53</v>
      </c>
      <c r="E13" s="28">
        <v>1.08</v>
      </c>
      <c r="F13" s="3" t="s">
        <v>16</v>
      </c>
      <c r="G13" s="3" t="s">
        <v>54</v>
      </c>
      <c r="H13" s="43" t="s">
        <v>59</v>
      </c>
      <c r="I13" s="49" t="s">
        <v>60</v>
      </c>
      <c r="J13" s="49" t="s">
        <v>61</v>
      </c>
      <c r="K13" s="43" t="s">
        <v>59</v>
      </c>
    </row>
    <row r="14" ht="60.75" customHeight="1" spans="1:11">
      <c r="A14" s="7" t="s">
        <v>62</v>
      </c>
      <c r="B14" s="7" t="s">
        <v>63</v>
      </c>
      <c r="C14" s="28" t="s">
        <v>20</v>
      </c>
      <c r="D14" s="31" t="s">
        <v>64</v>
      </c>
      <c r="E14" s="28">
        <v>950.4</v>
      </c>
      <c r="F14" s="3" t="s">
        <v>16</v>
      </c>
      <c r="G14" s="3" t="s">
        <v>65</v>
      </c>
      <c r="H14" s="21"/>
      <c r="I14" s="22"/>
      <c r="J14" s="22"/>
      <c r="K14" s="48"/>
    </row>
    <row r="15" ht="60.75" customHeight="1" spans="1:11">
      <c r="A15" s="7" t="s">
        <v>62</v>
      </c>
      <c r="B15" s="7" t="s">
        <v>63</v>
      </c>
      <c r="C15" s="28" t="s">
        <v>23</v>
      </c>
      <c r="D15" s="31" t="s">
        <v>15</v>
      </c>
      <c r="E15" s="28">
        <v>99</v>
      </c>
      <c r="F15" s="3" t="s">
        <v>16</v>
      </c>
      <c r="G15" s="3" t="s">
        <v>24</v>
      </c>
      <c r="H15" s="21" t="s">
        <v>66</v>
      </c>
      <c r="I15" s="22" t="s">
        <v>67</v>
      </c>
      <c r="J15" s="22" t="s">
        <v>68</v>
      </c>
      <c r="K15" s="21" t="s">
        <v>66</v>
      </c>
    </row>
    <row r="16" ht="45.75" customHeight="1" spans="1:11">
      <c r="A16" s="8" t="s">
        <v>62</v>
      </c>
      <c r="B16" s="8" t="s">
        <v>69</v>
      </c>
      <c r="C16" s="28" t="s">
        <v>20</v>
      </c>
      <c r="D16" s="28" t="s">
        <v>32</v>
      </c>
      <c r="E16" s="28">
        <v>1006.2</v>
      </c>
      <c r="F16" s="3" t="s">
        <v>16</v>
      </c>
      <c r="G16" s="3" t="s">
        <v>70</v>
      </c>
      <c r="H16" s="21"/>
      <c r="I16" s="22"/>
      <c r="J16" s="22"/>
      <c r="K16" s="48"/>
    </row>
    <row r="17" ht="28.5" spans="1:11">
      <c r="A17" s="8" t="s">
        <v>62</v>
      </c>
      <c r="B17" s="8" t="s">
        <v>69</v>
      </c>
      <c r="C17" s="28" t="s">
        <v>23</v>
      </c>
      <c r="D17" s="28" t="s">
        <v>15</v>
      </c>
      <c r="E17" s="28">
        <v>99</v>
      </c>
      <c r="F17" s="3" t="s">
        <v>16</v>
      </c>
      <c r="G17" s="3" t="s">
        <v>24</v>
      </c>
      <c r="H17" s="21"/>
      <c r="I17" s="22"/>
      <c r="J17" s="22"/>
      <c r="K17" s="48"/>
    </row>
    <row r="18" ht="36.75" customHeight="1" spans="1:7">
      <c r="A18" s="32"/>
      <c r="B18" s="33"/>
      <c r="C18" s="34"/>
      <c r="D18" s="34"/>
      <c r="E18" s="34"/>
      <c r="F18" s="34"/>
      <c r="G18" s="34"/>
    </row>
    <row r="19" ht="18.75" customHeight="1" spans="1:7">
      <c r="A19" s="2" t="s">
        <v>71</v>
      </c>
      <c r="B19" s="35" t="s">
        <v>72</v>
      </c>
      <c r="C19" s="36" t="s">
        <v>73</v>
      </c>
      <c r="D19" s="37"/>
      <c r="E19" s="37"/>
      <c r="F19" s="37"/>
      <c r="G19" s="44"/>
    </row>
    <row r="20" ht="43.5" customHeight="1" spans="1:7">
      <c r="A20" s="38" t="s">
        <v>74</v>
      </c>
      <c r="B20" s="39">
        <v>450000</v>
      </c>
      <c r="C20" s="40" t="s">
        <v>75</v>
      </c>
      <c r="D20" s="41"/>
      <c r="E20" s="41"/>
      <c r="F20" s="41"/>
      <c r="G20" s="45"/>
    </row>
    <row r="21" customHeight="1" spans="8:10">
      <c r="H21" s="22" t="s">
        <v>76</v>
      </c>
      <c r="I21" s="22" t="s">
        <v>60</v>
      </c>
      <c r="J21" s="22" t="s">
        <v>61</v>
      </c>
    </row>
    <row r="22" customHeight="1" spans="8:10">
      <c r="H22" s="46" t="s">
        <v>77</v>
      </c>
      <c r="I22" s="46"/>
      <c r="J22" s="46"/>
    </row>
    <row r="23" customHeight="1" spans="8:10">
      <c r="H23" s="22" t="s">
        <v>78</v>
      </c>
      <c r="I23" s="22" t="s">
        <v>79</v>
      </c>
      <c r="J23" s="22" t="s">
        <v>80</v>
      </c>
    </row>
    <row r="24" customHeight="1" spans="8:10">
      <c r="H24" s="22" t="s">
        <v>81</v>
      </c>
      <c r="I24" s="22" t="s">
        <v>82</v>
      </c>
      <c r="J24" s="22" t="s">
        <v>83</v>
      </c>
    </row>
    <row r="25" customHeight="1" spans="8:10">
      <c r="H25" s="22" t="s">
        <v>84</v>
      </c>
      <c r="I25" s="22" t="s">
        <v>56</v>
      </c>
      <c r="J25" s="22" t="s">
        <v>85</v>
      </c>
    </row>
    <row r="26" customHeight="1" spans="8:10">
      <c r="H26" s="22" t="s">
        <v>86</v>
      </c>
      <c r="I26" s="22" t="s">
        <v>87</v>
      </c>
      <c r="J26" s="22" t="s">
        <v>88</v>
      </c>
    </row>
    <row r="27" customHeight="1" spans="8:10">
      <c r="H27" s="46" t="s">
        <v>89</v>
      </c>
      <c r="I27" s="46"/>
      <c r="J27" s="46"/>
    </row>
  </sheetData>
  <mergeCells count="2">
    <mergeCell ref="C19:G19"/>
    <mergeCell ref="C20:G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1"/>
  <sheetViews>
    <sheetView tabSelected="1" workbookViewId="0">
      <selection activeCell="M4" sqref="M4"/>
    </sheetView>
  </sheetViews>
  <sheetFormatPr defaultColWidth="8.84166666666667" defaultRowHeight="14" customHeight="1"/>
  <cols>
    <col min="1" max="1" width="24.7666666666667" style="1" customWidth="1"/>
    <col min="2" max="2" width="42.15" style="1" customWidth="1"/>
    <col min="3" max="3" width="10.3833333333333" style="1" customWidth="1"/>
    <col min="4" max="4" width="9.925" style="1" customWidth="1"/>
    <col min="10" max="10" width="23.5" customWidth="1"/>
    <col min="11" max="11" width="7.375" customWidth="1"/>
    <col min="12" max="12" width="16" customWidth="1"/>
    <col min="13" max="13" width="23.5" customWidth="1"/>
  </cols>
  <sheetData>
    <row r="1" customHeight="1" spans="1:13">
      <c r="A1" s="1" t="s">
        <v>0</v>
      </c>
      <c r="J1" t="s">
        <v>90</v>
      </c>
      <c r="M1" t="s">
        <v>91</v>
      </c>
    </row>
    <row r="2" ht="28.5" spans="1:13">
      <c r="A2" s="2" t="s">
        <v>3</v>
      </c>
      <c r="B2" s="2" t="s">
        <v>4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3</v>
      </c>
      <c r="K2" s="2" t="s">
        <v>99</v>
      </c>
      <c r="L2" s="2" t="s">
        <v>100</v>
      </c>
      <c r="M2" s="2" t="s">
        <v>3</v>
      </c>
    </row>
    <row r="3" ht="71.25" spans="1:13">
      <c r="A3" s="3" t="s">
        <v>12</v>
      </c>
      <c r="B3" s="3" t="s">
        <v>13</v>
      </c>
      <c r="C3" s="3" t="s">
        <v>14</v>
      </c>
      <c r="D3" s="3">
        <v>1</v>
      </c>
      <c r="E3" s="3">
        <v>168000</v>
      </c>
      <c r="F3" s="16"/>
      <c r="G3" s="16"/>
      <c r="H3" s="16"/>
      <c r="I3" s="16"/>
      <c r="J3" s="21"/>
      <c r="K3" s="22"/>
      <c r="L3" s="22"/>
      <c r="M3" s="21"/>
    </row>
    <row r="4" ht="42.75" spans="1:13">
      <c r="A4" s="4" t="s">
        <v>18</v>
      </c>
      <c r="B4" s="4" t="s">
        <v>19</v>
      </c>
      <c r="C4" s="3" t="s">
        <v>20</v>
      </c>
      <c r="D4" s="5"/>
      <c r="E4" s="16"/>
      <c r="F4" s="3">
        <v>15</v>
      </c>
      <c r="G4" s="3">
        <f>42912</f>
        <v>42912</v>
      </c>
      <c r="H4" s="16"/>
      <c r="I4" s="16"/>
      <c r="J4" s="21"/>
      <c r="K4" s="22"/>
      <c r="L4" s="22"/>
      <c r="M4" s="21"/>
    </row>
    <row r="5" ht="28.5" spans="1:13">
      <c r="A5" s="3" t="s">
        <v>29</v>
      </c>
      <c r="B5" s="3" t="s">
        <v>101</v>
      </c>
      <c r="C5" s="3" t="s">
        <v>102</v>
      </c>
      <c r="D5" s="3">
        <v>5</v>
      </c>
      <c r="E5" s="3">
        <v>52000</v>
      </c>
      <c r="F5" s="16"/>
      <c r="G5" s="16"/>
      <c r="H5" s="16"/>
      <c r="I5" s="16"/>
      <c r="J5" s="21"/>
      <c r="K5" s="22"/>
      <c r="L5" s="22"/>
      <c r="M5" s="21"/>
    </row>
    <row r="6" ht="28.5" spans="1:13">
      <c r="A6" s="3" t="s">
        <v>34</v>
      </c>
      <c r="B6" s="3" t="s">
        <v>35</v>
      </c>
      <c r="C6" s="3" t="s">
        <v>20</v>
      </c>
      <c r="D6" s="5"/>
      <c r="E6" s="16"/>
      <c r="F6" s="3">
        <v>35</v>
      </c>
      <c r="G6" s="3">
        <v>81900</v>
      </c>
      <c r="H6" s="16"/>
      <c r="I6" s="16"/>
      <c r="J6" s="21"/>
      <c r="K6" s="22"/>
      <c r="L6" s="22"/>
      <c r="M6" s="3" t="s">
        <v>34</v>
      </c>
    </row>
    <row r="7" ht="57" spans="1:13">
      <c r="A7" s="3" t="s">
        <v>38</v>
      </c>
      <c r="B7" s="3" t="s">
        <v>39</v>
      </c>
      <c r="C7" s="3" t="s">
        <v>40</v>
      </c>
      <c r="D7" s="5"/>
      <c r="E7" s="16"/>
      <c r="F7" s="3">
        <v>100000</v>
      </c>
      <c r="G7" s="16">
        <v>18000</v>
      </c>
      <c r="H7" s="3">
        <v>100000</v>
      </c>
      <c r="I7" s="3">
        <v>18000</v>
      </c>
      <c r="J7" s="21"/>
      <c r="K7" s="22"/>
      <c r="L7" s="22"/>
      <c r="M7" s="27" t="s">
        <v>103</v>
      </c>
    </row>
    <row r="8" ht="28.5" spans="1:13">
      <c r="A8" s="6" t="s">
        <v>44</v>
      </c>
      <c r="B8" s="6" t="s">
        <v>45</v>
      </c>
      <c r="C8" s="3" t="s">
        <v>20</v>
      </c>
      <c r="D8" s="5"/>
      <c r="E8" s="16"/>
      <c r="F8" s="3">
        <v>20</v>
      </c>
      <c r="G8" s="3">
        <v>57216</v>
      </c>
      <c r="H8" s="16"/>
      <c r="I8" s="16"/>
      <c r="J8" s="21" t="s">
        <v>48</v>
      </c>
      <c r="K8" s="22">
        <v>9</v>
      </c>
      <c r="L8" s="23">
        <v>32184</v>
      </c>
      <c r="M8" s="21" t="s">
        <v>48</v>
      </c>
    </row>
    <row r="9" ht="57" spans="1:13">
      <c r="A9" s="7" t="s">
        <v>62</v>
      </c>
      <c r="B9" s="7" t="s">
        <v>63</v>
      </c>
      <c r="C9" s="3" t="s">
        <v>20</v>
      </c>
      <c r="D9" s="5"/>
      <c r="E9" s="16"/>
      <c r="F9" s="3">
        <v>50</v>
      </c>
      <c r="G9" s="3">
        <v>47520</v>
      </c>
      <c r="H9" s="16"/>
      <c r="I9" s="16"/>
      <c r="J9" s="21" t="s">
        <v>66</v>
      </c>
      <c r="K9" s="22">
        <v>12</v>
      </c>
      <c r="L9" s="23">
        <v>14256</v>
      </c>
      <c r="M9" s="21" t="s">
        <v>66</v>
      </c>
    </row>
    <row r="10" ht="57" spans="1:13">
      <c r="A10" s="8" t="s">
        <v>62</v>
      </c>
      <c r="B10" s="8" t="s">
        <v>104</v>
      </c>
      <c r="C10" s="3" t="s">
        <v>20</v>
      </c>
      <c r="D10" s="5"/>
      <c r="E10" s="16"/>
      <c r="F10" s="3">
        <v>5</v>
      </c>
      <c r="G10" s="3">
        <v>5031</v>
      </c>
      <c r="H10" s="16"/>
      <c r="I10" s="16"/>
      <c r="J10" s="21"/>
      <c r="K10" s="22"/>
      <c r="L10" s="22"/>
      <c r="M10" s="21"/>
    </row>
    <row r="11" ht="14.25" spans="1:13">
      <c r="A11" s="4" t="s">
        <v>18</v>
      </c>
      <c r="B11" s="4" t="s">
        <v>25</v>
      </c>
      <c r="C11" s="3" t="s">
        <v>26</v>
      </c>
      <c r="D11" s="5"/>
      <c r="E11" s="16"/>
      <c r="F11" s="17">
        <v>150000</v>
      </c>
      <c r="G11" s="17">
        <v>4500</v>
      </c>
      <c r="H11" s="3">
        <v>150000</v>
      </c>
      <c r="I11" s="3">
        <v>4500</v>
      </c>
      <c r="J11" s="21"/>
      <c r="K11" s="22"/>
      <c r="L11" s="22"/>
      <c r="M11" s="21"/>
    </row>
    <row r="12" ht="28.5" spans="1:13">
      <c r="A12" s="9" t="s">
        <v>44</v>
      </c>
      <c r="B12" s="9" t="s">
        <v>51</v>
      </c>
      <c r="C12" s="3" t="s">
        <v>52</v>
      </c>
      <c r="D12" s="5"/>
      <c r="E12" s="16"/>
      <c r="F12" s="17">
        <v>10000</v>
      </c>
      <c r="G12" s="18">
        <v>21000</v>
      </c>
      <c r="H12" s="3">
        <v>10000</v>
      </c>
      <c r="I12" s="3">
        <v>21000</v>
      </c>
      <c r="J12" s="21" t="s">
        <v>55</v>
      </c>
      <c r="K12" s="23">
        <v>2500</v>
      </c>
      <c r="L12" s="23">
        <v>6000</v>
      </c>
      <c r="M12" s="21" t="s">
        <v>55</v>
      </c>
    </row>
    <row r="13" ht="28.5" spans="1:13">
      <c r="A13" s="9" t="s">
        <v>44</v>
      </c>
      <c r="B13" s="9" t="s">
        <v>58</v>
      </c>
      <c r="C13" s="3" t="s">
        <v>52</v>
      </c>
      <c r="D13" s="5"/>
      <c r="E13" s="16"/>
      <c r="F13" s="3">
        <v>10000</v>
      </c>
      <c r="G13" s="17">
        <v>10800</v>
      </c>
      <c r="H13" s="3">
        <v>10000</v>
      </c>
      <c r="I13" s="3">
        <v>10800</v>
      </c>
      <c r="J13" s="24" t="s">
        <v>59</v>
      </c>
      <c r="K13" s="25" t="s">
        <v>60</v>
      </c>
      <c r="L13" s="26">
        <v>5712</v>
      </c>
      <c r="M13" s="24" t="s">
        <v>59</v>
      </c>
    </row>
    <row r="14" ht="17.25" spans="1:9">
      <c r="A14" s="10" t="s">
        <v>105</v>
      </c>
      <c r="B14" s="11"/>
      <c r="C14" s="11"/>
      <c r="D14" s="12"/>
      <c r="E14" s="19">
        <f>SUM(E3:E13)</f>
        <v>220000</v>
      </c>
      <c r="F14" s="19"/>
      <c r="G14" s="19">
        <f t="shared" ref="G14:I14" si="0">SUM(G3:G13)</f>
        <v>288879</v>
      </c>
      <c r="H14" s="19"/>
      <c r="I14" s="19">
        <f t="shared" si="0"/>
        <v>54300</v>
      </c>
    </row>
    <row r="15" customHeight="1" spans="1:5">
      <c r="A15" s="13"/>
      <c r="B15" s="13"/>
      <c r="C15" s="13"/>
      <c r="D15" s="13"/>
      <c r="E15" s="20"/>
    </row>
    <row r="16" ht="28.5" spans="1:9">
      <c r="A16" s="2" t="s">
        <v>71</v>
      </c>
      <c r="B16" s="14"/>
      <c r="C16" s="2" t="s">
        <v>92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110</v>
      </c>
      <c r="I16" s="2" t="s">
        <v>111</v>
      </c>
    </row>
    <row r="17" customHeight="1" spans="1:9">
      <c r="A17" s="15" t="s">
        <v>74</v>
      </c>
      <c r="B17" s="14" t="s">
        <v>112</v>
      </c>
      <c r="C17" s="14" t="s">
        <v>113</v>
      </c>
      <c r="D17" s="14">
        <v>6</v>
      </c>
      <c r="E17" s="14">
        <f>8000*D17</f>
        <v>48000</v>
      </c>
      <c r="F17" s="14">
        <v>8</v>
      </c>
      <c r="G17" s="14">
        <f>8000*F17</f>
        <v>64000</v>
      </c>
      <c r="H17" s="14">
        <v>1</v>
      </c>
      <c r="I17" s="14">
        <f>8000*H17</f>
        <v>8000</v>
      </c>
    </row>
    <row r="18" customHeight="1" spans="1:9">
      <c r="A18" s="15" t="s">
        <v>74</v>
      </c>
      <c r="B18" s="14" t="s">
        <v>114</v>
      </c>
      <c r="C18" s="14" t="s">
        <v>113</v>
      </c>
      <c r="D18" s="14">
        <v>5</v>
      </c>
      <c r="E18" s="14">
        <f>10000*D18</f>
        <v>50000</v>
      </c>
      <c r="F18" s="14">
        <v>6</v>
      </c>
      <c r="G18" s="14">
        <f>10000*F18</f>
        <v>60000</v>
      </c>
      <c r="H18" s="14">
        <v>2</v>
      </c>
      <c r="I18" s="14">
        <f>10000*H18</f>
        <v>20000</v>
      </c>
    </row>
    <row r="19" customHeight="1" spans="1:9">
      <c r="A19" s="15" t="s">
        <v>74</v>
      </c>
      <c r="B19" s="14" t="s">
        <v>115</v>
      </c>
      <c r="C19" s="14" t="s">
        <v>113</v>
      </c>
      <c r="D19" s="14">
        <v>6</v>
      </c>
      <c r="E19" s="14">
        <f>D19*8000</f>
        <v>48000</v>
      </c>
      <c r="F19" s="14">
        <v>8</v>
      </c>
      <c r="G19" s="14">
        <f>F19*8000</f>
        <v>64000</v>
      </c>
      <c r="H19" s="14">
        <v>1</v>
      </c>
      <c r="I19" s="14">
        <f>H19*8000</f>
        <v>8000</v>
      </c>
    </row>
    <row r="20" customHeight="1" spans="1:9">
      <c r="A20" s="15" t="s">
        <v>74</v>
      </c>
      <c r="B20" s="14" t="s">
        <v>116</v>
      </c>
      <c r="C20" s="14" t="s">
        <v>113</v>
      </c>
      <c r="D20" s="14">
        <v>4</v>
      </c>
      <c r="E20" s="14">
        <f>D20*10000</f>
        <v>40000</v>
      </c>
      <c r="F20" s="14">
        <v>3</v>
      </c>
      <c r="G20" s="14">
        <f>F20*10000</f>
        <v>30000</v>
      </c>
      <c r="H20" s="14">
        <v>1</v>
      </c>
      <c r="I20" s="14">
        <f>H20*10000</f>
        <v>10000</v>
      </c>
    </row>
    <row r="21" customHeight="1" spans="1:9">
      <c r="A21" s="10" t="s">
        <v>105</v>
      </c>
      <c r="B21" s="5"/>
      <c r="C21" s="5"/>
      <c r="D21" s="5"/>
      <c r="E21" s="19">
        <f>SUM(E17:E20)</f>
        <v>186000</v>
      </c>
      <c r="F21" s="19"/>
      <c r="G21" s="19">
        <f>SUM(G17:G20)</f>
        <v>218000</v>
      </c>
      <c r="H21" s="19"/>
      <c r="I21" s="19">
        <f>SUM(I17:I20)</f>
        <v>46000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合同报价</vt:lpstr>
      <vt:lpstr>采购计划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immortal</cp:lastModifiedBy>
  <dcterms:created xsi:type="dcterms:W3CDTF">2006-09-16T16:00:00Z</dcterms:created>
  <dcterms:modified xsi:type="dcterms:W3CDTF">2026-01-12T14:22:55Z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B42D61EA2AE72850DD5F64693FAEEC03_43</vt:lpwstr>
  </property>
  <property fmtid="{D5CDD505-2E9C-101B-9397-08002B2CF9AE}" pid="3" name="KSOProductBuildVer">
    <vt:lpwstr>2052-12.8.2.1119</vt:lpwstr>
  </property>
</Properties>
</file>